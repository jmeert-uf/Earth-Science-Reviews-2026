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ExtremeBackupJan2025\ESR2025Submit\"/>
    </mc:Choice>
  </mc:AlternateContent>
  <xr:revisionPtr revIDLastSave="0" documentId="8_{7E68F3DD-0E2D-4BC3-8C11-DC9ED3A5D43E}" xr6:coauthVersionLast="47" xr6:coauthVersionMax="47" xr10:uidLastSave="{00000000-0000-0000-0000-000000000000}"/>
  <bookViews>
    <workbookView xWindow="-108" yWindow="-108" windowWidth="23256" windowHeight="12456" xr2:uid="{93E68B3A-D4C3-4BC4-805A-5EDF22F3EAE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2" i="1" l="1"/>
  <c r="O11" i="1"/>
  <c r="O10" i="1"/>
  <c r="O9" i="1"/>
  <c r="O8" i="1"/>
  <c r="O7" i="1"/>
</calcChain>
</file>

<file path=xl/sharedStrings.xml><?xml version="1.0" encoding="utf-8"?>
<sst xmlns="http://schemas.openxmlformats.org/spreadsheetml/2006/main" count="22" uniqueCount="15">
  <si>
    <t>I595_1</t>
  </si>
  <si>
    <t>I595_2</t>
  </si>
  <si>
    <t>I595_3</t>
  </si>
  <si>
    <t>I595_4</t>
  </si>
  <si>
    <t>I595_5</t>
  </si>
  <si>
    <t>206Pb/238U</t>
  </si>
  <si>
    <t>2s % error</t>
  </si>
  <si>
    <t>*207Pb/235U</t>
  </si>
  <si>
    <t>*2s % error</t>
  </si>
  <si>
    <t>207Pb/206Pb</t>
  </si>
  <si>
    <t>rho</t>
  </si>
  <si>
    <t>I595_20</t>
  </si>
  <si>
    <t>%Disc</t>
  </si>
  <si>
    <t>Sample</t>
  </si>
  <si>
    <t>238/235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</si>
</sst>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
  </numFmts>
  <fonts count="5" x14ac:knownFonts="1">
    <font>
      <sz val="11"/>
      <color theme="1"/>
      <name val="Aptos Narrow"/>
      <family val="2"/>
      <scheme val="minor"/>
    </font>
    <font>
      <sz val="10"/>
      <color indexed="12"/>
      <name val="Verdana"/>
      <family val="2"/>
    </font>
    <font>
      <b/>
      <sz val="9"/>
      <color indexed="18"/>
      <name val="Verdana"/>
      <family val="2"/>
    </font>
    <font>
      <b/>
      <sz val="9"/>
      <color indexed="18"/>
      <name val="Aptos Narrow"/>
      <family val="2"/>
      <scheme val="minor"/>
    </font>
    <font>
      <b/>
      <sz val="11"/>
      <color theme="1"/>
      <name val="Aptos Narrow"/>
      <family val="2"/>
      <scheme val="minor"/>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164" fontId="2" fillId="0" borderId="3" xfId="0" applyNumberFormat="1" applyFont="1" applyBorder="1" applyAlignment="1">
      <alignment horizontal="center"/>
    </xf>
    <xf numFmtId="164" fontId="1" fillId="0" borderId="4" xfId="0" applyNumberFormat="1" applyFont="1" applyBorder="1" applyAlignment="1">
      <alignment horizontal="center"/>
    </xf>
    <xf numFmtId="165" fontId="1" fillId="0" borderId="0" xfId="0" applyNumberFormat="1" applyFont="1" applyAlignment="1">
      <alignment horizontal="center"/>
    </xf>
    <xf numFmtId="164" fontId="1" fillId="0" borderId="0" xfId="0" applyNumberFormat="1" applyFont="1" applyAlignment="1">
      <alignment horizontal="center"/>
    </xf>
    <xf numFmtId="164" fontId="3" fillId="0" borderId="3" xfId="0" applyNumberFormat="1" applyFont="1" applyBorder="1" applyAlignment="1">
      <alignment horizontal="center"/>
    </xf>
    <xf numFmtId="164" fontId="2" fillId="0" borderId="0" xfId="0" applyNumberFormat="1" applyFont="1" applyAlignment="1">
      <alignment horizontal="center"/>
    </xf>
    <xf numFmtId="164" fontId="1" fillId="0" borderId="1" xfId="0" applyNumberFormat="1"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164" fontId="3" fillId="0" borderId="0" xfId="0" applyNumberFormat="1" applyFont="1" applyAlignment="1">
      <alignment horizontal="center"/>
    </xf>
    <xf numFmtId="2" fontId="1" fillId="0" borderId="5" xfId="0" applyNumberFormat="1" applyFont="1" applyBorder="1" applyAlignment="1">
      <alignment horizontal="center"/>
    </xf>
    <xf numFmtId="2" fontId="1" fillId="0" borderId="6" xfId="0" applyNumberFormat="1" applyFont="1" applyBorder="1" applyAlignment="1">
      <alignment horizontal="center"/>
    </xf>
    <xf numFmtId="164" fontId="1" fillId="0" borderId="3" xfId="0" applyNumberFormat="1" applyFont="1" applyBorder="1" applyAlignment="1">
      <alignment horizontal="center"/>
    </xf>
    <xf numFmtId="165" fontId="1" fillId="0" borderId="3" xfId="0" applyNumberFormat="1" applyFont="1" applyBorder="1" applyAlignment="1">
      <alignment horizontal="center"/>
    </xf>
    <xf numFmtId="164" fontId="1" fillId="0" borderId="7" xfId="0" applyNumberFormat="1" applyFont="1" applyBorder="1" applyAlignment="1">
      <alignment horizontal="center"/>
    </xf>
    <xf numFmtId="0" fontId="1" fillId="0" borderId="8" xfId="0" applyFont="1" applyBorder="1" applyAlignment="1">
      <alignment horizontal="center"/>
    </xf>
    <xf numFmtId="2" fontId="1" fillId="0" borderId="8" xfId="0" applyNumberFormat="1" applyFont="1" applyBorder="1" applyAlignment="1">
      <alignment horizontal="center"/>
    </xf>
    <xf numFmtId="0" fontId="1" fillId="0" borderId="7" xfId="0" applyFont="1" applyBorder="1" applyAlignment="1">
      <alignment horizontal="center"/>
    </xf>
    <xf numFmtId="0" fontId="0" fillId="0" borderId="0" xfId="0" applyAlignment="1">
      <alignment vertical="center" wrapText="1"/>
    </xf>
    <xf numFmtId="165" fontId="2" fillId="0" borderId="0" xfId="0" applyNumberFormat="1" applyFont="1" applyAlignment="1">
      <alignment horizontal="center"/>
    </xf>
    <xf numFmtId="165" fontId="0" fillId="0" borderId="0" xfId="0" applyNumberFormat="1" applyAlignment="1">
      <alignment horizontal="center" vertical="center" wrapText="1"/>
    </xf>
    <xf numFmtId="165" fontId="0" fillId="0" borderId="0" xfId="0" applyNumberFormat="1" applyAlignment="1">
      <alignment horizontal="center"/>
    </xf>
    <xf numFmtId="165" fontId="4" fillId="0" borderId="0" xfId="0" quotePrefix="1"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17</xdr:row>
      <xdr:rowOff>0</xdr:rowOff>
    </xdr:from>
    <xdr:to>
      <xdr:col>8</xdr:col>
      <xdr:colOff>615696</xdr:colOff>
      <xdr:row>48</xdr:row>
      <xdr:rowOff>149352</xdr:rowOff>
    </xdr:to>
    <xdr:pic>
      <xdr:nvPicPr>
        <xdr:cNvPr id="5" name="Picture 4">
          <a:extLst>
            <a:ext uri="{FF2B5EF4-FFF2-40B4-BE49-F238E27FC236}">
              <a16:creationId xmlns:a16="http://schemas.microsoft.com/office/drawing/2014/main" id="{5D58FA03-2585-251F-6797-CDDBE5B460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68780" y="2194560"/>
          <a:ext cx="5980176" cy="5818632"/>
        </a:xfrm>
        <a:prstGeom prst="rect">
          <a:avLst/>
        </a:prstGeom>
      </xdr:spPr>
    </xdr:pic>
    <xdr:clientData/>
  </xdr:twoCellAnchor>
  <xdr:twoCellAnchor>
    <xdr:from>
      <xdr:col>0</xdr:col>
      <xdr:colOff>30480</xdr:colOff>
      <xdr:row>0</xdr:row>
      <xdr:rowOff>83820</xdr:rowOff>
    </xdr:from>
    <xdr:to>
      <xdr:col>9</xdr:col>
      <xdr:colOff>807720</xdr:colOff>
      <xdr:row>3</xdr:row>
      <xdr:rowOff>22860</xdr:rowOff>
    </xdr:to>
    <xdr:sp macro="" textlink="">
      <xdr:nvSpPr>
        <xdr:cNvPr id="7" name="TextBox 6">
          <a:extLst>
            <a:ext uri="{FF2B5EF4-FFF2-40B4-BE49-F238E27FC236}">
              <a16:creationId xmlns:a16="http://schemas.microsoft.com/office/drawing/2014/main" id="{9689128C-29DE-5987-2E4E-DB5C23DA77C3}"/>
            </a:ext>
          </a:extLst>
        </xdr:cNvPr>
        <xdr:cNvSpPr txBox="1"/>
      </xdr:nvSpPr>
      <xdr:spPr>
        <a:xfrm>
          <a:off x="30480" y="83820"/>
          <a:ext cx="8755380" cy="487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r>
            <a:rPr lang="en-US" sz="1100" baseline="0"/>
            <a:t> Table 2 (U-Pb Ages) in Pradhan et al., 2010 lists incorrect data.  The correct listing is given below along with new age calculations.  We are unable to ascertain the cause of the error in the original publication.  </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D60B5-E500-43B7-843C-B47FB97FD9C9}">
  <dimension ref="A5:P12"/>
  <sheetViews>
    <sheetView tabSelected="1" workbookViewId="0">
      <selection activeCell="O5" sqref="O5"/>
    </sheetView>
  </sheetViews>
  <sheetFormatPr defaultRowHeight="14.4" x14ac:dyDescent="0.3"/>
  <cols>
    <col min="2" max="2" width="15.44140625" customWidth="1"/>
    <col min="3" max="3" width="10.33203125" customWidth="1"/>
    <col min="4" max="4" width="15.21875" customWidth="1"/>
    <col min="5" max="5" width="12.33203125" customWidth="1"/>
    <col min="6" max="6" width="14.6640625" customWidth="1"/>
    <col min="7" max="7" width="16.77734375" customWidth="1"/>
    <col min="9" max="9" width="13.77734375" customWidth="1"/>
    <col min="10" max="10" width="11.88671875" customWidth="1"/>
    <col min="11" max="11" width="14.21875" customWidth="1"/>
    <col min="12" max="12" width="12" customWidth="1"/>
    <col min="13" max="13" width="14.33203125" customWidth="1"/>
    <col min="14" max="14" width="10.77734375" customWidth="1"/>
    <col min="15" max="15" width="11.5546875" style="24" bestFit="1" customWidth="1"/>
  </cols>
  <sheetData>
    <row r="5" spans="1:16" x14ac:dyDescent="0.3">
      <c r="O5" s="25" t="s">
        <v>14</v>
      </c>
    </row>
    <row r="6" spans="1:16" x14ac:dyDescent="0.3">
      <c r="A6" t="s">
        <v>13</v>
      </c>
      <c r="B6" s="3" t="s">
        <v>5</v>
      </c>
      <c r="C6" s="7" t="s">
        <v>6</v>
      </c>
      <c r="D6" s="3" t="s">
        <v>7</v>
      </c>
      <c r="E6" s="3" t="s">
        <v>8</v>
      </c>
      <c r="F6" s="8" t="s">
        <v>9</v>
      </c>
      <c r="G6" s="12" t="s">
        <v>6</v>
      </c>
      <c r="H6" s="8" t="s">
        <v>10</v>
      </c>
      <c r="I6" s="3" t="s">
        <v>7</v>
      </c>
      <c r="J6" s="3" t="s">
        <v>8</v>
      </c>
      <c r="K6" s="3" t="s">
        <v>5</v>
      </c>
      <c r="L6" s="7" t="s">
        <v>6</v>
      </c>
      <c r="M6" s="8" t="s">
        <v>9</v>
      </c>
      <c r="N6" s="12" t="s">
        <v>6</v>
      </c>
      <c r="O6" s="22" t="s">
        <v>12</v>
      </c>
      <c r="P6" s="12"/>
    </row>
    <row r="7" spans="1:16" x14ac:dyDescent="0.3">
      <c r="A7" s="1" t="s">
        <v>0</v>
      </c>
      <c r="B7" s="4">
        <v>0.16102885745937531</v>
      </c>
      <c r="C7" s="5">
        <v>2.6851550448806498</v>
      </c>
      <c r="D7" s="4">
        <v>1.6717333394134022</v>
      </c>
      <c r="E7" s="5">
        <v>2.7686322783839672</v>
      </c>
      <c r="F7" s="9">
        <v>7.52942494121316E-2</v>
      </c>
      <c r="G7" s="10">
        <v>0.67473482040101784</v>
      </c>
      <c r="H7" s="13">
        <v>0.96984892715617588</v>
      </c>
      <c r="I7" s="21">
        <v>998</v>
      </c>
      <c r="J7" s="21">
        <v>18</v>
      </c>
      <c r="K7" s="21">
        <v>962</v>
      </c>
      <c r="L7" s="21">
        <v>24</v>
      </c>
      <c r="M7" s="21">
        <v>1076</v>
      </c>
      <c r="N7" s="21">
        <v>14</v>
      </c>
      <c r="O7" s="23">
        <f>100-((K7/I7)*100)</f>
        <v>3.6072144288577164</v>
      </c>
      <c r="P7" s="21"/>
    </row>
    <row r="8" spans="1:16" x14ac:dyDescent="0.3">
      <c r="A8" s="2" t="s">
        <v>1</v>
      </c>
      <c r="B8" s="6">
        <v>0.15968690288828785</v>
      </c>
      <c r="C8" s="5">
        <v>2.0281670749940894</v>
      </c>
      <c r="D8" s="6">
        <v>1.6521375945828256</v>
      </c>
      <c r="E8" s="5">
        <v>2.1622171429090034</v>
      </c>
      <c r="F8" s="6">
        <v>7.5036994723740813E-2</v>
      </c>
      <c r="G8" s="11">
        <v>0.74948067953716646</v>
      </c>
      <c r="H8" s="14">
        <v>0.93800342007530035</v>
      </c>
      <c r="I8" s="21">
        <v>990</v>
      </c>
      <c r="J8" s="21">
        <v>14</v>
      </c>
      <c r="K8" s="21">
        <v>955</v>
      </c>
      <c r="L8" s="21">
        <v>18</v>
      </c>
      <c r="M8" s="21">
        <v>1069</v>
      </c>
      <c r="N8" s="21">
        <v>15</v>
      </c>
      <c r="O8" s="23">
        <f t="shared" ref="O8:O12" si="0">100-((K8/I8)*100)</f>
        <v>3.5353535353535364</v>
      </c>
      <c r="P8" s="21"/>
    </row>
    <row r="9" spans="1:16" x14ac:dyDescent="0.3">
      <c r="A9" s="2" t="s">
        <v>2</v>
      </c>
      <c r="B9" s="6">
        <v>0.16155129778857735</v>
      </c>
      <c r="C9" s="5">
        <v>1.927277812802122</v>
      </c>
      <c r="D9" s="6">
        <v>1.7074963659489744</v>
      </c>
      <c r="E9" s="5">
        <v>2.1218772158606769</v>
      </c>
      <c r="F9" s="6">
        <v>7.6656299967318653E-2</v>
      </c>
      <c r="G9" s="11">
        <v>0.88767288539716349</v>
      </c>
      <c r="H9" s="14">
        <v>0.9082890368943326</v>
      </c>
      <c r="I9" s="21">
        <v>1011</v>
      </c>
      <c r="J9" s="21">
        <v>13</v>
      </c>
      <c r="K9" s="21">
        <v>965</v>
      </c>
      <c r="L9" s="21">
        <v>17</v>
      </c>
      <c r="M9" s="21">
        <v>1112</v>
      </c>
      <c r="N9" s="21">
        <v>17</v>
      </c>
      <c r="O9" s="23">
        <f t="shared" si="0"/>
        <v>4.5499505440158288</v>
      </c>
      <c r="P9" s="21"/>
    </row>
    <row r="10" spans="1:16" x14ac:dyDescent="0.3">
      <c r="A10" s="2" t="s">
        <v>3</v>
      </c>
      <c r="B10" s="6">
        <v>0.18485623404219606</v>
      </c>
      <c r="C10" s="5">
        <v>1.8885167908806475</v>
      </c>
      <c r="D10" s="6">
        <v>1.9703444295127477</v>
      </c>
      <c r="E10" s="5">
        <v>2.0213009930316255</v>
      </c>
      <c r="F10" s="6">
        <v>7.7304818585542293E-2</v>
      </c>
      <c r="G10" s="11">
        <v>0.72052899663545544</v>
      </c>
      <c r="H10" s="14">
        <v>0.93430755606970584</v>
      </c>
      <c r="I10" s="21">
        <v>1105</v>
      </c>
      <c r="J10" s="21">
        <v>13</v>
      </c>
      <c r="K10" s="21">
        <v>1093</v>
      </c>
      <c r="L10" s="21">
        <v>19</v>
      </c>
      <c r="M10" s="21">
        <v>1129</v>
      </c>
      <c r="N10" s="21">
        <v>15</v>
      </c>
      <c r="O10" s="23">
        <f t="shared" si="0"/>
        <v>1.0859728506787292</v>
      </c>
      <c r="P10" s="21"/>
    </row>
    <row r="11" spans="1:16" x14ac:dyDescent="0.3">
      <c r="A11" s="2" t="s">
        <v>4</v>
      </c>
      <c r="B11" s="6">
        <v>0.15874218508166985</v>
      </c>
      <c r="C11" s="5">
        <v>2.1840201259897549</v>
      </c>
      <c r="D11" s="6">
        <v>1.6993129274045309</v>
      </c>
      <c r="E11" s="5">
        <v>2.4733621434704309</v>
      </c>
      <c r="F11" s="6">
        <v>7.7638926766615518E-2</v>
      </c>
      <c r="G11" s="11">
        <v>1.1608515762251186</v>
      </c>
      <c r="H11" s="14">
        <v>0.88301671947048777</v>
      </c>
      <c r="I11" s="21">
        <v>1008</v>
      </c>
      <c r="J11" s="21">
        <v>16</v>
      </c>
      <c r="K11" s="21">
        <v>950</v>
      </c>
      <c r="L11" s="21">
        <v>19</v>
      </c>
      <c r="M11" s="21">
        <v>1138</v>
      </c>
      <c r="N11" s="21">
        <v>24</v>
      </c>
      <c r="O11" s="23">
        <f t="shared" si="0"/>
        <v>5.7539682539682531</v>
      </c>
      <c r="P11" s="21"/>
    </row>
    <row r="12" spans="1:16" x14ac:dyDescent="0.3">
      <c r="A12" s="20" t="s">
        <v>11</v>
      </c>
      <c r="B12" s="15">
        <v>0.18150305493581459</v>
      </c>
      <c r="C12" s="16">
        <v>1.8215780590898483</v>
      </c>
      <c r="D12" s="15">
        <v>1.877987191351199</v>
      </c>
      <c r="E12" s="16">
        <v>1.9370778995296303</v>
      </c>
      <c r="F12" s="17">
        <v>7.5042484258932424E-2</v>
      </c>
      <c r="G12" s="18">
        <v>0.65888099341883133</v>
      </c>
      <c r="H12" s="19">
        <v>0.94037418914963178</v>
      </c>
      <c r="I12" s="21">
        <v>1073</v>
      </c>
      <c r="J12" s="21">
        <v>13</v>
      </c>
      <c r="K12" s="21">
        <v>1075</v>
      </c>
      <c r="L12" s="21">
        <v>18</v>
      </c>
      <c r="M12" s="21">
        <v>1070</v>
      </c>
      <c r="N12" s="21">
        <v>13</v>
      </c>
      <c r="O12" s="23">
        <f t="shared" si="0"/>
        <v>-0.18639328984156123</v>
      </c>
      <c r="P12" s="21"/>
    </row>
  </sheetData>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Meert</dc:creator>
  <cp:lastModifiedBy>Joseph Meert</cp:lastModifiedBy>
  <dcterms:created xsi:type="dcterms:W3CDTF">2025-12-30T07:37:45Z</dcterms:created>
  <dcterms:modified xsi:type="dcterms:W3CDTF">2025-12-31T06:29:01Z</dcterms:modified>
</cp:coreProperties>
</file>